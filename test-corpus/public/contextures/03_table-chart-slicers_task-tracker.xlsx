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sdal\Documents\ContexturesSampleFiles\functionsamples\"/>
    </mc:Choice>
  </mc:AlternateContent>
  <xr:revisionPtr revIDLastSave="0" documentId="13_ncr:1_{CB17EFF5-225E-4AE8-9304-066071906571}" xr6:coauthVersionLast="47" xr6:coauthVersionMax="47" xr10:uidLastSave="{00000000-0000-0000-0000-000000000000}"/>
  <bookViews>
    <workbookView xWindow="1860" yWindow="1650" windowWidth="25680" windowHeight="13515" xr2:uid="{9089A41A-9F60-4F89-B165-302CE25B2DD9}"/>
  </bookViews>
  <sheets>
    <sheet name="Instructions" sheetId="2" r:id="rId1"/>
    <sheet name="Summary" sheetId="4" r:id="rId2"/>
    <sheet name="Tasks" sheetId="1" r:id="rId3"/>
    <sheet name="MyLinks" sheetId="3" r:id="rId4"/>
  </sheets>
  <definedNames>
    <definedName name="Slicer_Category">#N/A</definedName>
    <definedName name="Slicer_Who">#N/A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E6" i="4"/>
  <c r="D6" i="4"/>
  <c r="D5" i="4"/>
  <c r="C5" i="4"/>
  <c r="E4" i="4"/>
  <c r="E1" i="1"/>
  <c r="D1" i="1"/>
  <c r="C6" i="4" l="1"/>
</calcChain>
</file>

<file path=xl/sharedStrings.xml><?xml version="1.0" encoding="utf-8"?>
<sst xmlns="http://schemas.openxmlformats.org/spreadsheetml/2006/main" count="310" uniqueCount="134">
  <si>
    <t>Related tutorials</t>
  </si>
  <si>
    <t>Excel tools and training, recommended by Debra</t>
  </si>
  <si>
    <t>Contextures Recommends</t>
  </si>
  <si>
    <t>Excel Products</t>
  </si>
  <si>
    <t>Get emails with Excel tips, links, and news</t>
  </si>
  <si>
    <t>Contextures Excel Newsletter</t>
  </si>
  <si>
    <t>Pivot table tutorials and tips, with comments and questions</t>
  </si>
  <si>
    <t>Excel Pivot Tables Blog</t>
  </si>
  <si>
    <t>Excel tutorials and tips, with comments and questions</t>
  </si>
  <si>
    <t>Contextures Excel Blog</t>
  </si>
  <si>
    <t>Hundreds of tutorials, tips and sample files</t>
  </si>
  <si>
    <t>Contextures Excel Tips Website</t>
  </si>
  <si>
    <t>Contextures Sites &amp; News</t>
  </si>
  <si>
    <t>Task</t>
  </si>
  <si>
    <t>Completed</t>
  </si>
  <si>
    <t>Update your Google Business profile</t>
  </si>
  <si>
    <t>Post a behind-the-scenes video</t>
  </si>
  <si>
    <t>Review your pricing strategy</t>
  </si>
  <si>
    <t>Design new business cards</t>
  </si>
  <si>
    <t>Update your social media bios</t>
  </si>
  <si>
    <t>Record a customer testimonial video</t>
  </si>
  <si>
    <t>Run a flash sale on slow-moving items</t>
  </si>
  <si>
    <t>Collaborate with another small business</t>
  </si>
  <si>
    <t>Clean up your email list</t>
  </si>
  <si>
    <t>Offer a seasonal service or product bundle</t>
  </si>
  <si>
    <t>Set up a customer feedback survey</t>
  </si>
  <si>
    <t>Back up your business files</t>
  </si>
  <si>
    <t>Optimize one underperforming product listing</t>
  </si>
  <si>
    <t>Note</t>
  </si>
  <si>
    <t>ID</t>
  </si>
  <si>
    <t>Remaining</t>
  </si>
  <si>
    <t>Category</t>
  </si>
  <si>
    <t>Marketing</t>
  </si>
  <si>
    <t>Sales</t>
  </si>
  <si>
    <t>Admin</t>
  </si>
  <si>
    <t>Notes</t>
  </si>
  <si>
    <t>Design an email campaign to re-engage past customers</t>
  </si>
  <si>
    <t>Develop a VIP or loyalty program for frequent buyers</t>
  </si>
  <si>
    <t>Research and test a new tool that could improve efficiency</t>
  </si>
  <si>
    <t>Set new business goals for the next quarter</t>
  </si>
  <si>
    <t>Brainstorm ways to improve customer experience</t>
  </si>
  <si>
    <t>Review your goals for next quarter</t>
  </si>
  <si>
    <t>Content</t>
  </si>
  <si>
    <t>Who</t>
  </si>
  <si>
    <t>Try a new marketing platform (eg, TikTok, Threads)</t>
  </si>
  <si>
    <t>Owner</t>
  </si>
  <si>
    <t>Intern</t>
  </si>
  <si>
    <t>Create a social media content plan for the next 2 months</t>
  </si>
  <si>
    <t>Create a seasonal content calendar</t>
  </si>
  <si>
    <t>Brainstorm new marketing angles—how to stand out in the online learning space</t>
  </si>
  <si>
    <t>Offer a limited-time seasonal discount to boost sales</t>
  </si>
  <si>
    <t>Run a customer appreciation sale</t>
  </si>
  <si>
    <t>Set up small ad campaign for seasonal promotions</t>
  </si>
  <si>
    <t>Summarize key analytics to help track business growth</t>
  </si>
  <si>
    <t>Run campaign to get new email subscribers</t>
  </si>
  <si>
    <t>Draft an instructional guide for daily admin tasks</t>
  </si>
  <si>
    <t>Send a seasonal newsletter to email list</t>
  </si>
  <si>
    <t>Automate one daily admin task to save time</t>
  </si>
  <si>
    <t>Gather 3 customer testimonials for top products</t>
  </si>
  <si>
    <t>Update an older post with low traffic</t>
  </si>
  <si>
    <t>List 4 blog post topics for the upcoming month</t>
  </si>
  <si>
    <t>Host a live Q&amp;A session on social media</t>
  </si>
  <si>
    <t>Update inventory for best-selling seasonal products</t>
  </si>
  <si>
    <t>Scan website for broken links</t>
  </si>
  <si>
    <t>Automate one monthly admin task</t>
  </si>
  <si>
    <t>Plan promotions for next season</t>
  </si>
  <si>
    <t>Launch a limited-time seasonal offer</t>
  </si>
  <si>
    <t>Create Instagram &amp; TikTok reels with a product demo</t>
  </si>
  <si>
    <t>Review a product page and suggest improvements</t>
  </si>
  <si>
    <t>Help build a knowledge base for new users of your products</t>
  </si>
  <si>
    <t>Brainstorm ways to scale—additional products, partnerships</t>
  </si>
  <si>
    <t>Update a product help page</t>
  </si>
  <si>
    <t>Create a customer referral program</t>
  </si>
  <si>
    <t>Share an inspirational success story from a customer who benefitted from your products</t>
  </si>
  <si>
    <t>Identify one new lead generation strategy and test it</t>
  </si>
  <si>
    <t>Update a product description on your website</t>
  </si>
  <si>
    <t>Draft an outreach email to potential business partners</t>
  </si>
  <si>
    <t>Check for small business grants you qualify for</t>
  </si>
  <si>
    <t>Check competitor videos on YouTube, for topic inspiration</t>
  </si>
  <si>
    <t>Research new software tools to help your business</t>
  </si>
  <si>
    <t>Analyze website traffic to identify 2 popular topics</t>
  </si>
  <si>
    <t>Make a short video for social media to promote your seasonal offers</t>
  </si>
  <si>
    <t>Send a discount offer to your top customers</t>
  </si>
  <si>
    <t>Write and schedule social media posts for the upcoming week</t>
  </si>
  <si>
    <t>Check competitor social media accounts, for inspiration</t>
  </si>
  <si>
    <t>Respond to social media comments</t>
  </si>
  <si>
    <t>Refresh your website home page images</t>
  </si>
  <si>
    <t>Update one old blog post to improve it</t>
  </si>
  <si>
    <t>Set up an email automation</t>
  </si>
  <si>
    <t>Write a blog post on seasonal trends in your business</t>
  </si>
  <si>
    <t>Analyze year-to-date product sales</t>
  </si>
  <si>
    <t>Post a 10 day challenge related to your top product</t>
  </si>
  <si>
    <t>Take day off for a mental reset</t>
  </si>
  <si>
    <t>Update the title for an older video on YouTube</t>
  </si>
  <si>
    <t>Write a blog post on the problem your product solves</t>
  </si>
  <si>
    <t>Brainstorm new product ideas</t>
  </si>
  <si>
    <t>Visit a customer website, to learn more about them</t>
  </si>
  <si>
    <t>Compile FAQs for a product page</t>
  </si>
  <si>
    <t>Draft a seasonal-themed email product promotion</t>
  </si>
  <si>
    <t>Interact in a LinkedIn group to grow your presence</t>
  </si>
  <si>
    <t>Check popular websites for home page inspiration</t>
  </si>
  <si>
    <t>Update your product photos</t>
  </si>
  <si>
    <t>Reply to online reviews</t>
  </si>
  <si>
    <t>Do a quick year-to-date financial health check</t>
  </si>
  <si>
    <t>Outline a seasonal blog post</t>
  </si>
  <si>
    <t>Review your on-going subscriptions, and cancel unnecessary ones</t>
  </si>
  <si>
    <t>Write an online review for a business product or service that you love</t>
  </si>
  <si>
    <t>Find 2 influencers who might promote your products</t>
  </si>
  <si>
    <t>Set up abandoned cart reminders for your products</t>
  </si>
  <si>
    <t>Watch a recent video on your business topic</t>
  </si>
  <si>
    <t>Publish a blog post on a trending industry topic</t>
  </si>
  <si>
    <t>Design an infographic that explains your product</t>
  </si>
  <si>
    <t>Go through your phone photos and delete any you don't need</t>
  </si>
  <si>
    <t>Plan a small paid ad campaign, with costs and targets</t>
  </si>
  <si>
    <t>Schedule a strategy session (alone or with mentor)</t>
  </si>
  <si>
    <t>Brainstorm ideas to explain product benefits</t>
  </si>
  <si>
    <t>Done</t>
  </si>
  <si>
    <t>Grow Your Business - Task Challenge</t>
  </si>
  <si>
    <t>Grow Your Business - Task List</t>
  </si>
  <si>
    <t>Tasks</t>
  </si>
  <si>
    <t>Tasks Target</t>
  </si>
  <si>
    <t>Total</t>
  </si>
  <si>
    <t>COUNTIFS Function Examples</t>
  </si>
  <si>
    <t>Pie Charts</t>
  </si>
  <si>
    <t>Download From</t>
  </si>
  <si>
    <t>• Check the Done box, to mark a task complete</t>
  </si>
  <si>
    <t>• Owner and Intern could be replaced with other titles or names</t>
  </si>
  <si>
    <t>• Formulas calculate the remaining tasks, and percent progress</t>
  </si>
  <si>
    <t>To help your small business grow, give yourself a task challenge!</t>
  </si>
  <si>
    <t>• Use my business tasks example list, or create your own list</t>
  </si>
  <si>
    <t>Tasks sheet - Edit, add, or delete the example tasks, or leave as is</t>
  </si>
  <si>
    <t>• Set a target number of tasks to complete, over the next 30 days</t>
  </si>
  <si>
    <t>Summary - Enter your target number of tasks to complete</t>
  </si>
  <si>
    <t>Business Growth Challenge Excel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</si>
</sst>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4"/>
      <color theme="1"/>
      <name val="Calibri"/>
      <family val="2"/>
      <scheme val="minor"/>
    </font>
    <font>
      <b/>
      <sz val="15"/>
      <color theme="3"/>
      <name val="Calibri"/>
      <family val="2"/>
      <scheme val="minor"/>
    </font>
    <font>
      <b/>
      <sz val="16"/>
      <color theme="9" tint="-0.24994659260841701"/>
      <name val="Calibri"/>
      <family val="2"/>
      <scheme val="minor"/>
    </font>
    <font>
      <u/>
      <sz val="14"/>
      <color rgb="FF0000FF"/>
      <name val="Calibri"/>
      <family val="2"/>
      <scheme val="minor"/>
    </font>
    <font>
      <sz val="11"/>
      <name val="Calibri"/>
      <family val="2"/>
      <scheme val="minor"/>
    </font>
    <font>
      <sz val="18"/>
      <color theme="1"/>
      <name val="Calibri"/>
      <family val="2"/>
      <scheme val="minor"/>
    </font>
    <font>
      <b/>
      <sz val="14"/>
      <color theme="1"/>
      <name val="Calibri"/>
      <family val="2"/>
      <scheme val="minor"/>
    </font>
    <font>
      <b/>
      <sz val="18"/>
      <color rgb="FF002060"/>
      <name val="Calibri"/>
      <family val="2"/>
      <scheme val="minor"/>
    </font>
    <font>
      <sz val="14"/>
      <color rgb="FF00206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s>
  <borders count="4">
    <border>
      <left/>
      <right/>
      <top/>
      <bottom/>
      <diagonal/>
    </border>
    <border>
      <left/>
      <right/>
      <top/>
      <bottom style="thick">
        <color theme="4"/>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1" applyNumberFormat="0" applyFill="0" applyBorder="0" applyAlignment="0" applyProtection="0"/>
    <xf numFmtId="0" fontId="2" fillId="0" borderId="0" applyNumberFormat="0" applyFill="0" applyAlignment="0" applyProtection="0"/>
    <xf numFmtId="0" fontId="3" fillId="0" borderId="0" applyNumberFormat="0" applyFill="0" applyBorder="0" applyAlignment="0" applyProtection="0"/>
  </cellStyleXfs>
  <cellXfs count="25">
    <xf numFmtId="0" fontId="0" fillId="0" borderId="0" xfId="0"/>
    <xf numFmtId="0" fontId="2" fillId="0" borderId="0" xfId="2"/>
    <xf numFmtId="0" fontId="3" fillId="0" borderId="0" xfId="3" applyAlignment="1" applyProtection="1"/>
    <xf numFmtId="0" fontId="0" fillId="0" borderId="0" xfId="0" applyAlignment="1">
      <alignment horizontal="right"/>
    </xf>
    <xf numFmtId="0" fontId="3" fillId="0" borderId="0" xfId="3" applyAlignment="1" applyProtection="1">
      <alignment horizontal="left"/>
    </xf>
    <xf numFmtId="0" fontId="0" fillId="0" borderId="0" xfId="0" applyAlignment="1">
      <alignment horizontal="left"/>
    </xf>
    <xf numFmtId="0" fontId="2" fillId="0" borderId="0" xfId="2" applyAlignment="1">
      <alignment horizontal="left"/>
    </xf>
    <xf numFmtId="0" fontId="4" fillId="0" borderId="0" xfId="0" applyFont="1" applyAlignment="1">
      <alignment horizontal="left"/>
    </xf>
    <xf numFmtId="0" fontId="3" fillId="0" borderId="0" xfId="3" applyAlignment="1"/>
    <xf numFmtId="0" fontId="5" fillId="0" borderId="0" xfId="0" applyFont="1"/>
    <xf numFmtId="0" fontId="5" fillId="0" borderId="2" xfId="0" applyFont="1" applyBorder="1"/>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14" fontId="0" fillId="0" borderId="0" xfId="0" applyNumberFormat="1" applyAlignment="1">
      <alignment vertical="top"/>
      <extLst>
        <ext xmlns:xfpb="http://schemas.microsoft.com/office/spreadsheetml/2022/featurepropertybag" uri="{C7286773-470A-42A8-94C5-96B5CB345126}">
          <xfpb:xfComplement i="0"/>
        </ext>
      </extLst>
    </xf>
    <xf numFmtId="0" fontId="6" fillId="2" borderId="3" xfId="0" applyFont="1" applyFill="1" applyBorder="1" applyAlignment="1">
      <alignment horizontal="center" vertical="center"/>
    </xf>
    <xf numFmtId="14" fontId="6" fillId="0" borderId="3" xfId="0" applyNumberFormat="1" applyFont="1" applyBorder="1" applyAlignment="1">
      <alignment horizontal="right" vertical="center" indent="1"/>
    </xf>
    <xf numFmtId="14" fontId="6" fillId="0" borderId="3" xfId="0" applyNumberFormat="1" applyFont="1" applyBorder="1" applyAlignment="1">
      <alignment horizontal="left" vertical="center" indent="1"/>
    </xf>
    <xf numFmtId="0" fontId="5" fillId="0" borderId="0" xfId="0" applyFont="1" applyAlignment="1">
      <alignment horizontal="center"/>
    </xf>
    <xf numFmtId="0" fontId="5" fillId="0" borderId="2" xfId="0" applyFont="1" applyBorder="1" applyAlignment="1">
      <alignment horizontal="center"/>
    </xf>
    <xf numFmtId="0" fontId="5" fillId="3" borderId="2" xfId="0" applyFont="1" applyFill="1" applyBorder="1" applyAlignment="1">
      <alignment horizontal="center"/>
    </xf>
    <xf numFmtId="0" fontId="0" fillId="0" borderId="0" xfId="0" applyAlignment="1">
      <alignment horizontal="left" indent="2"/>
    </xf>
    <xf numFmtId="0" fontId="7" fillId="0" borderId="0" xfId="2" applyFont="1"/>
    <xf numFmtId="0" fontId="8" fillId="0" borderId="0" xfId="0" applyFont="1" applyAlignment="1">
      <alignment vertical="top"/>
    </xf>
    <xf numFmtId="0" fontId="7" fillId="0" borderId="0" xfId="2" applyFont="1" applyAlignment="1">
      <alignment horizontal="left" vertical="top" indent="1"/>
    </xf>
  </cellXfs>
  <cellStyles count="4">
    <cellStyle name="Heading 1" xfId="1" builtinId="16" customBuiltin="1"/>
    <cellStyle name="Heading 2" xfId="2" builtinId="17" customBuiltin="1"/>
    <cellStyle name="Hyperlink" xfId="3" builtinId="8"/>
    <cellStyle name="Normal" xfId="0" builtinId="0"/>
  </cellStyles>
  <dxfs count="8">
    <dxf>
      <alignment horizontal="general" vertical="top" textRotation="0" indent="0" justifyLastLine="0" shrinkToFit="0" readingOrder="0"/>
    </dxf>
    <dxf>
      <numFmt numFmtId="19" formatCode="m/d/yyyy"/>
      <alignment horizontal="general" vertical="top" textRotation="0" indent="0" justifyLastLine="0" shrinkToFit="0" readingOrder="0"/>
      <extLst>
        <ext xmlns:xfpb="http://schemas.microsoft.com/office/spreadsheetml/2022/featurepropertybag" uri="{0417FA29-78FA-4A13-93AC-8FF0FAFDF519}">
          <xfpb:DXFComplement i="0"/>
        </ext>
      </extLst>
    </dxf>
    <dxf>
      <numFmt numFmtId="19" formatCode="m/d/yyyy"/>
      <alignment horizontal="general" vertical="top" textRotation="0" indent="0" justifyLastLine="0" shrinkToFit="0" readingOrder="0"/>
    </dxf>
    <dxf>
      <numFmt numFmtId="19" formatCode="m/d/yyyy"/>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Light8"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CA" sz="1800" b="1"/>
              <a:t>Task Challenge</a:t>
            </a:r>
          </a:p>
        </c:rich>
      </c:tx>
      <c:layout>
        <c:manualLayout>
          <c:xMode val="edge"/>
          <c:yMode val="edge"/>
          <c:x val="7.4550731536391704E-2"/>
          <c:y val="4.150453955901426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9667-482F-8038-0666C9A898D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2-9667-482F-8038-0666C9A898DF}"/>
              </c:ext>
            </c:extLst>
          </c:dPt>
          <c:cat>
            <c:strRef>
              <c:f>Summary!$B$5:$B$6</c:f>
              <c:strCache>
                <c:ptCount val="2"/>
                <c:pt idx="0">
                  <c:v>Completed</c:v>
                </c:pt>
                <c:pt idx="1">
                  <c:v>Remaining</c:v>
                </c:pt>
              </c:strCache>
            </c:strRef>
          </c:cat>
          <c:val>
            <c:numRef>
              <c:f>Summary!$E$5:$E$6</c:f>
              <c:numCache>
                <c:formatCode>General</c:formatCode>
                <c:ptCount val="2"/>
                <c:pt idx="0">
                  <c:v>1</c:v>
                </c:pt>
                <c:pt idx="1">
                  <c:v>29</c:v>
                </c:pt>
              </c:numCache>
            </c:numRef>
          </c:val>
          <c:extLst>
            <c:ext xmlns:c16="http://schemas.microsoft.com/office/drawing/2014/chart" uri="{C3380CC4-5D6E-409C-BE32-E72D297353CC}">
              <c16:uniqueId val="{00000000-9667-482F-8038-0666C9A898DF}"/>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0.43492863140218302"/>
          <c:y val="7.2503446796776866E-2"/>
          <c:w val="0.54492023509655751"/>
          <c:h val="0.2646992861300897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ontextur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103187</xdr:colOff>
      <xdr:row>1</xdr:row>
      <xdr:rowOff>0</xdr:rowOff>
    </xdr:from>
    <xdr:ext cx="1972151" cy="327505"/>
    <xdr:pic>
      <xdr:nvPicPr>
        <xdr:cNvPr id="2" name="Picture 1" descr="A black background with red and blue lights&#10;&#10;Description automatically generated">
          <a:hlinkClick xmlns:r="http://schemas.openxmlformats.org/officeDocument/2006/relationships" r:id="rId1"/>
          <a:extLst>
            <a:ext uri="{FF2B5EF4-FFF2-40B4-BE49-F238E27FC236}">
              <a16:creationId xmlns:a16="http://schemas.microsoft.com/office/drawing/2014/main" id="{70BE6D26-44FF-4DC9-8065-7C3E5A5F10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187" y="238125"/>
          <a:ext cx="1972151" cy="32750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295274</xdr:colOff>
      <xdr:row>6</xdr:row>
      <xdr:rowOff>233362</xdr:rowOff>
    </xdr:from>
    <xdr:to>
      <xdr:col>4</xdr:col>
      <xdr:colOff>495299</xdr:colOff>
      <xdr:row>15</xdr:row>
      <xdr:rowOff>100012</xdr:rowOff>
    </xdr:to>
    <xdr:graphicFrame macro="">
      <xdr:nvGraphicFramePr>
        <xdr:cNvPr id="2" name="Chart 1">
          <a:extLst>
            <a:ext uri="{FF2B5EF4-FFF2-40B4-BE49-F238E27FC236}">
              <a16:creationId xmlns:a16="http://schemas.microsoft.com/office/drawing/2014/main" id="{C3C88CA2-31BB-1254-BA84-5C1B68542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209550</xdr:colOff>
      <xdr:row>0</xdr:row>
      <xdr:rowOff>0</xdr:rowOff>
    </xdr:from>
    <xdr:to>
      <xdr:col>8</xdr:col>
      <xdr:colOff>647700</xdr:colOff>
      <xdr:row>4</xdr:row>
      <xdr:rowOff>38100</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566AE8BB-4E45-364B-8B3B-36DF6A5354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43925" y="0"/>
              <a:ext cx="2114550" cy="11049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733426</xdr:colOff>
      <xdr:row>0</xdr:row>
      <xdr:rowOff>0</xdr:rowOff>
    </xdr:from>
    <xdr:to>
      <xdr:col>10</xdr:col>
      <xdr:colOff>428626</xdr:colOff>
      <xdr:row>4</xdr:row>
      <xdr:rowOff>28575</xdr:rowOff>
    </xdr:to>
    <mc:AlternateContent xmlns:mc="http://schemas.openxmlformats.org/markup-compatibility/2006" xmlns:sle15="http://schemas.microsoft.com/office/drawing/2012/slicer">
      <mc:Choice Requires="sle15">
        <xdr:graphicFrame macro="">
          <xdr:nvGraphicFramePr>
            <xdr:cNvPr id="3" name="Who">
              <a:extLst>
                <a:ext uri="{FF2B5EF4-FFF2-40B4-BE49-F238E27FC236}">
                  <a16:creationId xmlns:a16="http://schemas.microsoft.com/office/drawing/2014/main" id="{D92B3983-E81E-A7B2-EF7C-E267E3C3D666}"/>
                </a:ext>
              </a:extLst>
            </xdr:cNvPr>
            <xdr:cNvGraphicFramePr/>
          </xdr:nvGraphicFramePr>
          <xdr:xfrm>
            <a:off x="0" y="0"/>
            <a:ext cx="0" cy="0"/>
          </xdr:xfrm>
          <a:graphic>
            <a:graphicData uri="http://schemas.microsoft.com/office/drawing/2010/slicer">
              <sle:slicer xmlns:sle="http://schemas.microsoft.com/office/drawing/2010/slicer" name="Who"/>
            </a:graphicData>
          </a:graphic>
        </xdr:graphicFrame>
      </mc:Choice>
      <mc:Fallback xmlns="">
        <xdr:sp macro="" textlink="">
          <xdr:nvSpPr>
            <xdr:cNvPr id="0" name=""/>
            <xdr:cNvSpPr>
              <a:spLocks noTextEdit="1"/>
            </xdr:cNvSpPr>
          </xdr:nvSpPr>
          <xdr:spPr>
            <a:xfrm>
              <a:off x="10744201" y="0"/>
              <a:ext cx="1371600" cy="109537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00FCEA-776C-4116-BB9F-B1984CE6D549}" sourceName="Category">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 xr10:uid="{B91B57CD-1703-4FAE-95D5-DBAB9D31529C}" sourceName="Wh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386473-70D1-4FEA-951A-B3F52E6D352A}" cache="Slicer_Category" caption="Category" columnCount="2" rowHeight="304800"/>
  <slicer name="Who" xr10:uid="{E0F2EDFA-55E8-42C1-988A-33E611C201FE}" cache="Slicer_Who" caption="Who" style="SlicerStyleLight6"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7C524-BF32-408E-BCB0-F32E6393E7CA}" name="Table1" displayName="Table1" ref="A3:F92" totalsRowShown="0" headerRowDxfId="7" dataDxfId="6">
  <autoFilter ref="A3:F92" xr:uid="{C397C524-BF32-408E-BCB0-F32E6393E7CA}"/>
  <tableColumns count="6">
    <tableColumn id="1" xr3:uid="{E71A021F-43A1-41FD-932A-DCD33795F626}" name="ID" dataDxfId="5"/>
    <tableColumn id="2" xr3:uid="{C1173657-D6F2-4FB2-B137-EFCDD8E3D1FC}" name="Task" dataDxfId="4"/>
    <tableColumn id="5" xr3:uid="{6CE6DA78-938F-4BA0-A740-2020E14E406B}" name="Category" dataDxfId="3"/>
    <tableColumn id="6" xr3:uid="{333B9C7C-1C77-4EDC-8B56-83F55D94BB14}" name="Who" dataDxfId="2"/>
    <tableColumn id="3" xr3:uid="{588DD29E-C8EE-4883-BF42-57238458BE2B}" name="Done" dataDxfId="1"/>
    <tableColumn id="4" xr3:uid="{28251CA8-090E-4779-AD68-906C3FD44639}" name="Note" dataDxfId="0"/>
  </tableColumns>
  <tableStyleInfo name="TableStyleLight8" showFirstColumn="0" showLastColumn="0" showRowStripes="1" showColumnStripes="0"/>
</table>
</file>

<file path=xl/theme/theme1.xml><?xml version="1.0" encoding="utf-8"?>
<a:theme xmlns:a="http://schemas.openxmlformats.org/drawingml/2006/main" name="ctx_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ontextures.com/excelbusinessplanning.html" TargetMode="External"/><Relationship Id="rId2" Type="http://schemas.openxmlformats.org/officeDocument/2006/relationships/hyperlink" Target="https://www.contextures.com/excelpiechartexamples.html" TargetMode="External"/><Relationship Id="rId1" Type="http://schemas.openxmlformats.org/officeDocument/2006/relationships/hyperlink" Target="https://www.contextures.com/excelcountcolumncriteria.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contexturesblog.com/" TargetMode="External"/><Relationship Id="rId2" Type="http://schemas.openxmlformats.org/officeDocument/2006/relationships/hyperlink" Target="https://www.pivot-table.com/" TargetMode="External"/><Relationship Id="rId1" Type="http://schemas.openxmlformats.org/officeDocument/2006/relationships/hyperlink" Target="https://www.contextures.com/tiptech.html" TargetMode="External"/><Relationship Id="rId6" Type="http://schemas.openxmlformats.org/officeDocument/2006/relationships/printerSettings" Target="../printerSettings/printerSettings2.bin"/><Relationship Id="rId5" Type="http://schemas.openxmlformats.org/officeDocument/2006/relationships/hyperlink" Target="https://www.contextures.com/excelnewslettersignup.html" TargetMode="External"/><Relationship Id="rId4" Type="http://schemas.openxmlformats.org/officeDocument/2006/relationships/hyperlink" Target="https://www.contextures.com/ctxr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67488-F27D-4457-A98A-048963633C1F}">
  <dimension ref="B1:C21"/>
  <sheetViews>
    <sheetView showGridLines="0" tabSelected="1" zoomScale="120" zoomScaleNormal="120" workbookViewId="0">
      <pane ySplit="3" topLeftCell="A4" activePane="bottomLeft" state="frozen"/>
      <selection activeCell="A4" sqref="A4"/>
      <selection pane="bottomLeft" activeCell="B6" sqref="B6"/>
    </sheetView>
  </sheetViews>
  <sheetFormatPr defaultColWidth="9.09765625" defaultRowHeight="18.75" x14ac:dyDescent="0.3"/>
  <cols>
    <col min="1" max="1" width="5.296875" customWidth="1"/>
    <col min="2" max="2" width="3.59765625" customWidth="1"/>
    <col min="3" max="3" width="37.69921875" customWidth="1"/>
  </cols>
  <sheetData>
    <row r="1" spans="2:3" ht="7.5" customHeight="1" x14ac:dyDescent="0.3"/>
    <row r="4" spans="2:3" ht="9.75" customHeight="1" x14ac:dyDescent="0.3"/>
    <row r="5" spans="2:3" ht="21" x14ac:dyDescent="0.35">
      <c r="C5" s="1" t="s">
        <v>124</v>
      </c>
    </row>
    <row r="6" spans="2:3" x14ac:dyDescent="0.3">
      <c r="B6" s="3"/>
      <c r="C6" s="4" t="s">
        <v>133</v>
      </c>
    </row>
    <row r="7" spans="2:3" ht="9.75" customHeight="1" x14ac:dyDescent="0.3">
      <c r="B7" s="3"/>
    </row>
    <row r="8" spans="2:3" ht="21" x14ac:dyDescent="0.35">
      <c r="B8" s="3"/>
      <c r="C8" s="1" t="s">
        <v>0</v>
      </c>
    </row>
    <row r="9" spans="2:3" x14ac:dyDescent="0.3">
      <c r="B9" s="3"/>
      <c r="C9" s="2" t="s">
        <v>122</v>
      </c>
    </row>
    <row r="10" spans="2:3" x14ac:dyDescent="0.3">
      <c r="B10" s="3"/>
      <c r="C10" s="2" t="s">
        <v>123</v>
      </c>
    </row>
    <row r="11" spans="2:3" ht="9.75" customHeight="1" x14ac:dyDescent="0.3"/>
    <row r="12" spans="2:3" ht="21" x14ac:dyDescent="0.35">
      <c r="C12" s="1" t="s">
        <v>35</v>
      </c>
    </row>
    <row r="13" spans="2:3" x14ac:dyDescent="0.3">
      <c r="B13">
        <v>1</v>
      </c>
      <c r="C13" t="s">
        <v>128</v>
      </c>
    </row>
    <row r="14" spans="2:3" x14ac:dyDescent="0.3">
      <c r="C14" s="21" t="s">
        <v>131</v>
      </c>
    </row>
    <row r="15" spans="2:3" x14ac:dyDescent="0.3">
      <c r="C15" s="21" t="s">
        <v>129</v>
      </c>
    </row>
    <row r="16" spans="2:3" x14ac:dyDescent="0.3">
      <c r="B16">
        <v>2</v>
      </c>
      <c r="C16" t="s">
        <v>130</v>
      </c>
    </row>
    <row r="17" spans="2:3" x14ac:dyDescent="0.3">
      <c r="C17" s="21" t="s">
        <v>126</v>
      </c>
    </row>
    <row r="18" spans="2:3" x14ac:dyDescent="0.3">
      <c r="C18" s="21" t="s">
        <v>125</v>
      </c>
    </row>
    <row r="19" spans="2:3" x14ac:dyDescent="0.3">
      <c r="B19">
        <v>3</v>
      </c>
      <c r="C19" t="s">
        <v>132</v>
      </c>
    </row>
    <row r="20" spans="2:3" x14ac:dyDescent="0.3">
      <c r="C20" s="21" t="s">
        <v>127</v>
      </c>
    </row>
    <row r="21" spans="2:3" x14ac:dyDescent="0.3">
      <c r="C21" s="21" t="s">
        <v>126</v>
      </c>
    </row>
  </sheetData>
  <hyperlinks>
    <hyperlink ref="C9" r:id="rId1" xr:uid="{21998443-56D5-486E-8D76-D3B8C014165D}"/>
    <hyperlink ref="C10" r:id="rId2" xr:uid="{BFBB0FCF-ED18-480C-906B-D29AF9232A56}"/>
    <hyperlink ref="C6" r:id="rId3" xr:uid="{F3A0A976-F7D5-4242-B667-3AABB872D862}"/>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4588B-6BB9-486D-BADA-1BEEA867341D}">
  <dimension ref="B1:E6"/>
  <sheetViews>
    <sheetView showGridLines="0" workbookViewId="0">
      <selection activeCell="D3" sqref="D3"/>
    </sheetView>
  </sheetViews>
  <sheetFormatPr defaultColWidth="12.8984375" defaultRowHeight="23.25" x14ac:dyDescent="0.35"/>
  <cols>
    <col min="1" max="1" width="3.796875" style="9" customWidth="1"/>
    <col min="2" max="2" width="12.8984375" style="9"/>
    <col min="3" max="3" width="8" style="9" customWidth="1"/>
    <col min="4" max="4" width="8.796875" style="9" customWidth="1"/>
    <col min="5" max="5" width="8.59765625" style="9" customWidth="1"/>
    <col min="6" max="16384" width="12.8984375" style="9"/>
  </cols>
  <sheetData>
    <row r="1" spans="2:5" x14ac:dyDescent="0.35">
      <c r="B1" s="22" t="s">
        <v>117</v>
      </c>
    </row>
    <row r="3" spans="2:5" x14ac:dyDescent="0.35">
      <c r="C3" s="18" t="s">
        <v>45</v>
      </c>
      <c r="D3" s="18" t="s">
        <v>46</v>
      </c>
      <c r="E3" s="18" t="s">
        <v>121</v>
      </c>
    </row>
    <row r="4" spans="2:5" x14ac:dyDescent="0.35">
      <c r="B4" s="10" t="s">
        <v>120</v>
      </c>
      <c r="C4" s="20">
        <v>20</v>
      </c>
      <c r="D4" s="20">
        <v>10</v>
      </c>
      <c r="E4" s="19">
        <f>SUM(C4:D4)</f>
        <v>30</v>
      </c>
    </row>
    <row r="5" spans="2:5" x14ac:dyDescent="0.35">
      <c r="B5" s="10" t="s">
        <v>14</v>
      </c>
      <c r="C5" s="19">
        <f>COUNTIFS(Table1[Done],TRUE,Table1[Who],C3)</f>
        <v>1</v>
      </c>
      <c r="D5" s="19">
        <f>COUNTIFS(Table1[Note],TRUE,Table1[Done],D3)</f>
        <v>0</v>
      </c>
      <c r="E5" s="19">
        <f t="shared" ref="E5:E6" si="0">SUM(C5:D5)</f>
        <v>1</v>
      </c>
    </row>
    <row r="6" spans="2:5" ht="29.25" customHeight="1" x14ac:dyDescent="0.35">
      <c r="B6" s="10" t="s">
        <v>30</v>
      </c>
      <c r="C6" s="19">
        <f>C4-C5</f>
        <v>19</v>
      </c>
      <c r="D6" s="19">
        <f>D4-D5</f>
        <v>10</v>
      </c>
      <c r="E6" s="19">
        <f t="shared" si="0"/>
        <v>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C25A-47A2-463A-9739-1902D9B9126C}">
  <dimension ref="A1:F92"/>
  <sheetViews>
    <sheetView showGridLines="0" zoomScaleNormal="100" workbookViewId="0">
      <pane ySplit="4" topLeftCell="A5" activePane="bottomLeft" state="frozen"/>
      <selection pane="bottomLeft" activeCell="D4" sqref="D4"/>
    </sheetView>
  </sheetViews>
  <sheetFormatPr defaultRowHeight="18.75" x14ac:dyDescent="0.3"/>
  <cols>
    <col min="1" max="1" width="4.69921875" style="11" customWidth="1"/>
    <col min="2" max="2" width="42.09765625" style="11" customWidth="1"/>
    <col min="3" max="4" width="10.8984375" style="12" customWidth="1"/>
    <col min="5" max="5" width="8.296875" style="12" bestFit="1" customWidth="1"/>
    <col min="6" max="6" width="10.59765625" style="11" customWidth="1"/>
    <col min="7" max="16384" width="8.796875" style="11"/>
  </cols>
  <sheetData>
    <row r="1" spans="1:6" ht="27.75" customHeight="1" x14ac:dyDescent="0.3">
      <c r="A1" s="24" t="s">
        <v>118</v>
      </c>
      <c r="B1" s="23"/>
      <c r="C1" s="16" t="s">
        <v>119</v>
      </c>
      <c r="D1" s="15">
        <f>COUNTA(Table1[Task])</f>
        <v>89</v>
      </c>
      <c r="E1" s="15">
        <f>COUNTIFS(Table1[Done],TRUE)</f>
        <v>1</v>
      </c>
      <c r="F1" s="17" t="s">
        <v>116</v>
      </c>
    </row>
    <row r="3" spans="1:6" x14ac:dyDescent="0.3">
      <c r="A3" s="11" t="s">
        <v>29</v>
      </c>
      <c r="B3" s="11" t="s">
        <v>13</v>
      </c>
      <c r="C3" s="12" t="s">
        <v>31</v>
      </c>
      <c r="D3" s="12" t="s">
        <v>43</v>
      </c>
      <c r="E3" s="12" t="s">
        <v>116</v>
      </c>
      <c r="F3" s="11" t="s">
        <v>28</v>
      </c>
    </row>
    <row r="4" spans="1:6" x14ac:dyDescent="0.3">
      <c r="A4" s="11">
        <v>1</v>
      </c>
      <c r="B4" s="13" t="s">
        <v>44</v>
      </c>
      <c r="C4" s="12" t="s">
        <v>32</v>
      </c>
      <c r="D4" s="12" t="s">
        <v>45</v>
      </c>
      <c r="E4" s="14" t="b">
        <v>0</v>
      </c>
    </row>
    <row r="5" spans="1:6" ht="37.5" x14ac:dyDescent="0.3">
      <c r="A5" s="11">
        <v>2</v>
      </c>
      <c r="B5" s="13" t="s">
        <v>70</v>
      </c>
      <c r="C5" s="12" t="s">
        <v>34</v>
      </c>
      <c r="D5" s="12" t="s">
        <v>46</v>
      </c>
      <c r="E5" s="14" t="b">
        <v>0</v>
      </c>
    </row>
    <row r="6" spans="1:6" ht="37.5" x14ac:dyDescent="0.3">
      <c r="A6" s="11">
        <v>3</v>
      </c>
      <c r="B6" s="13" t="s">
        <v>47</v>
      </c>
      <c r="C6" s="12" t="s">
        <v>34</v>
      </c>
      <c r="D6" s="12" t="s">
        <v>46</v>
      </c>
      <c r="E6" s="14" t="b">
        <v>0</v>
      </c>
    </row>
    <row r="7" spans="1:6" x14ac:dyDescent="0.3">
      <c r="A7" s="11">
        <v>4</v>
      </c>
      <c r="B7" s="13" t="s">
        <v>21</v>
      </c>
      <c r="C7" s="12" t="s">
        <v>33</v>
      </c>
      <c r="D7" s="12" t="s">
        <v>45</v>
      </c>
      <c r="E7" s="14" t="b">
        <v>0</v>
      </c>
    </row>
    <row r="8" spans="1:6" ht="37.5" x14ac:dyDescent="0.3">
      <c r="A8" s="11">
        <v>5</v>
      </c>
      <c r="B8" s="13" t="s">
        <v>37</v>
      </c>
      <c r="C8" s="12" t="s">
        <v>33</v>
      </c>
      <c r="D8" s="12" t="s">
        <v>45</v>
      </c>
      <c r="E8" s="14" t="b">
        <v>0</v>
      </c>
    </row>
    <row r="9" spans="1:6" ht="37.5" x14ac:dyDescent="0.3">
      <c r="A9" s="11">
        <v>6</v>
      </c>
      <c r="B9" s="13" t="s">
        <v>38</v>
      </c>
      <c r="C9" s="12" t="s">
        <v>34</v>
      </c>
      <c r="D9" s="12" t="s">
        <v>45</v>
      </c>
      <c r="E9" s="14" t="b">
        <v>0</v>
      </c>
    </row>
    <row r="10" spans="1:6" x14ac:dyDescent="0.3">
      <c r="A10" s="11">
        <v>8</v>
      </c>
      <c r="B10" s="13" t="s">
        <v>48</v>
      </c>
      <c r="C10" s="12" t="s">
        <v>32</v>
      </c>
      <c r="D10" s="12" t="s">
        <v>45</v>
      </c>
      <c r="E10" s="14" t="b">
        <v>0</v>
      </c>
    </row>
    <row r="11" spans="1:6" ht="37.5" x14ac:dyDescent="0.3">
      <c r="A11" s="11">
        <v>9</v>
      </c>
      <c r="B11" s="13" t="s">
        <v>49</v>
      </c>
      <c r="C11" s="12" t="s">
        <v>32</v>
      </c>
      <c r="D11" s="12" t="s">
        <v>46</v>
      </c>
      <c r="E11" s="14" t="b">
        <v>0</v>
      </c>
    </row>
    <row r="12" spans="1:6" x14ac:dyDescent="0.3">
      <c r="A12" s="11">
        <v>10</v>
      </c>
      <c r="B12" s="13" t="s">
        <v>50</v>
      </c>
      <c r="C12" s="12" t="s">
        <v>33</v>
      </c>
      <c r="D12" s="12" t="s">
        <v>45</v>
      </c>
      <c r="E12" s="14" t="b">
        <v>0</v>
      </c>
    </row>
    <row r="13" spans="1:6" x14ac:dyDescent="0.3">
      <c r="A13" s="11">
        <v>11</v>
      </c>
      <c r="B13" s="13" t="s">
        <v>51</v>
      </c>
      <c r="C13" s="12" t="s">
        <v>33</v>
      </c>
      <c r="D13" s="12" t="s">
        <v>45</v>
      </c>
      <c r="E13" s="14" t="b">
        <v>0</v>
      </c>
    </row>
    <row r="14" spans="1:6" x14ac:dyDescent="0.3">
      <c r="A14" s="11">
        <v>12</v>
      </c>
      <c r="B14" s="13" t="s">
        <v>71</v>
      </c>
      <c r="C14" s="12" t="s">
        <v>34</v>
      </c>
      <c r="D14" s="12" t="s">
        <v>45</v>
      </c>
      <c r="E14" s="14" t="b">
        <v>0</v>
      </c>
    </row>
    <row r="15" spans="1:6" x14ac:dyDescent="0.3">
      <c r="A15" s="11">
        <v>13</v>
      </c>
      <c r="B15" s="13" t="s">
        <v>52</v>
      </c>
      <c r="C15" s="12" t="s">
        <v>32</v>
      </c>
      <c r="D15" s="12" t="s">
        <v>46</v>
      </c>
      <c r="E15" s="14" t="b">
        <v>0</v>
      </c>
    </row>
    <row r="16" spans="1:6" ht="37.5" x14ac:dyDescent="0.3">
      <c r="A16" s="11">
        <v>14</v>
      </c>
      <c r="B16" s="13" t="s">
        <v>53</v>
      </c>
      <c r="C16" s="12" t="s">
        <v>34</v>
      </c>
      <c r="D16" s="12" t="s">
        <v>46</v>
      </c>
      <c r="E16" s="14" t="b">
        <v>0</v>
      </c>
    </row>
    <row r="17" spans="1:5" x14ac:dyDescent="0.3">
      <c r="A17" s="11">
        <v>15</v>
      </c>
      <c r="B17" s="13" t="s">
        <v>54</v>
      </c>
      <c r="C17" s="12" t="s">
        <v>32</v>
      </c>
      <c r="D17" s="12" t="s">
        <v>46</v>
      </c>
      <c r="E17" s="14" t="b">
        <v>0</v>
      </c>
    </row>
    <row r="18" spans="1:5" x14ac:dyDescent="0.3">
      <c r="A18" s="11">
        <v>16</v>
      </c>
      <c r="B18" s="13" t="s">
        <v>55</v>
      </c>
      <c r="C18" s="12" t="s">
        <v>34</v>
      </c>
      <c r="D18" s="12" t="s">
        <v>46</v>
      </c>
      <c r="E18" s="14" t="b">
        <v>0</v>
      </c>
    </row>
    <row r="19" spans="1:5" x14ac:dyDescent="0.3">
      <c r="A19" s="11">
        <v>17</v>
      </c>
      <c r="B19" s="13" t="s">
        <v>68</v>
      </c>
      <c r="C19" s="12" t="s">
        <v>34</v>
      </c>
      <c r="D19" s="12" t="s">
        <v>46</v>
      </c>
      <c r="E19" s="14" t="b">
        <v>0</v>
      </c>
    </row>
    <row r="20" spans="1:5" x14ac:dyDescent="0.3">
      <c r="A20" s="11">
        <v>18</v>
      </c>
      <c r="B20" s="13" t="s">
        <v>39</v>
      </c>
      <c r="C20" s="12" t="s">
        <v>34</v>
      </c>
      <c r="D20" s="12" t="s">
        <v>45</v>
      </c>
      <c r="E20" s="14" t="b">
        <v>0</v>
      </c>
    </row>
    <row r="21" spans="1:5" x14ac:dyDescent="0.3">
      <c r="A21" s="11">
        <v>19</v>
      </c>
      <c r="B21" s="13" t="s">
        <v>72</v>
      </c>
      <c r="C21" s="12" t="s">
        <v>32</v>
      </c>
      <c r="D21" s="12" t="s">
        <v>45</v>
      </c>
      <c r="E21" s="14" t="b">
        <v>0</v>
      </c>
    </row>
    <row r="22" spans="1:5" ht="37.5" x14ac:dyDescent="0.3">
      <c r="A22" s="11">
        <v>20</v>
      </c>
      <c r="B22" s="13" t="s">
        <v>73</v>
      </c>
      <c r="C22" s="12" t="s">
        <v>32</v>
      </c>
      <c r="D22" s="12" t="s">
        <v>46</v>
      </c>
      <c r="E22" s="14" t="b">
        <v>0</v>
      </c>
    </row>
    <row r="23" spans="1:5" x14ac:dyDescent="0.3">
      <c r="A23" s="11">
        <v>21</v>
      </c>
      <c r="B23" s="13" t="s">
        <v>56</v>
      </c>
      <c r="C23" s="12" t="s">
        <v>32</v>
      </c>
      <c r="D23" s="12" t="s">
        <v>45</v>
      </c>
      <c r="E23" s="14" t="b">
        <v>0</v>
      </c>
    </row>
    <row r="24" spans="1:5" x14ac:dyDescent="0.3">
      <c r="A24" s="11">
        <v>22</v>
      </c>
      <c r="B24" s="13" t="s">
        <v>16</v>
      </c>
      <c r="C24" s="12" t="s">
        <v>32</v>
      </c>
      <c r="D24" s="12" t="s">
        <v>45</v>
      </c>
      <c r="E24" s="14" t="b">
        <v>0</v>
      </c>
    </row>
    <row r="25" spans="1:5" x14ac:dyDescent="0.3">
      <c r="A25" s="11">
        <v>23</v>
      </c>
      <c r="B25" s="13" t="s">
        <v>57</v>
      </c>
      <c r="C25" s="12" t="s">
        <v>34</v>
      </c>
      <c r="D25" s="12" t="s">
        <v>45</v>
      </c>
      <c r="E25" s="14" t="b">
        <v>0</v>
      </c>
    </row>
    <row r="26" spans="1:5" x14ac:dyDescent="0.3">
      <c r="A26" s="11">
        <v>24</v>
      </c>
      <c r="B26" s="13" t="s">
        <v>74</v>
      </c>
      <c r="C26" s="12" t="s">
        <v>33</v>
      </c>
      <c r="D26" s="12" t="s">
        <v>45</v>
      </c>
      <c r="E26" s="14" t="b">
        <v>0</v>
      </c>
    </row>
    <row r="27" spans="1:5" ht="37.5" x14ac:dyDescent="0.3">
      <c r="A27" s="11">
        <v>25</v>
      </c>
      <c r="B27" s="13" t="s">
        <v>36</v>
      </c>
      <c r="C27" s="12" t="s">
        <v>33</v>
      </c>
      <c r="D27" s="12" t="s">
        <v>45</v>
      </c>
      <c r="E27" s="14" t="b">
        <v>0</v>
      </c>
    </row>
    <row r="28" spans="1:5" x14ac:dyDescent="0.3">
      <c r="A28" s="11">
        <v>26</v>
      </c>
      <c r="B28" s="13" t="s">
        <v>24</v>
      </c>
      <c r="C28" s="12" t="s">
        <v>33</v>
      </c>
      <c r="D28" s="12" t="s">
        <v>45</v>
      </c>
      <c r="E28" s="14" t="b">
        <v>0</v>
      </c>
    </row>
    <row r="29" spans="1:5" x14ac:dyDescent="0.3">
      <c r="A29" s="11">
        <v>27</v>
      </c>
      <c r="B29" s="13" t="s">
        <v>75</v>
      </c>
      <c r="C29" s="12" t="s">
        <v>33</v>
      </c>
      <c r="D29" s="12" t="s">
        <v>45</v>
      </c>
      <c r="E29" s="14" t="b">
        <v>0</v>
      </c>
    </row>
    <row r="30" spans="1:5" ht="37.5" x14ac:dyDescent="0.3">
      <c r="A30" s="11">
        <v>28</v>
      </c>
      <c r="B30" s="13" t="s">
        <v>76</v>
      </c>
      <c r="C30" s="12" t="s">
        <v>34</v>
      </c>
      <c r="D30" s="12" t="s">
        <v>46</v>
      </c>
      <c r="E30" s="14" t="b">
        <v>0</v>
      </c>
    </row>
    <row r="31" spans="1:5" x14ac:dyDescent="0.3">
      <c r="A31" s="11">
        <v>29</v>
      </c>
      <c r="B31" s="13" t="s">
        <v>77</v>
      </c>
      <c r="C31" s="12" t="s">
        <v>34</v>
      </c>
      <c r="D31" s="12" t="s">
        <v>45</v>
      </c>
      <c r="E31" s="14" t="b">
        <v>0</v>
      </c>
    </row>
    <row r="32" spans="1:5" ht="37.5" x14ac:dyDescent="0.3">
      <c r="A32" s="11">
        <v>30</v>
      </c>
      <c r="B32" s="13" t="s">
        <v>78</v>
      </c>
      <c r="C32" s="12" t="s">
        <v>32</v>
      </c>
      <c r="D32" s="12" t="s">
        <v>46</v>
      </c>
      <c r="E32" s="14" t="b">
        <v>0</v>
      </c>
    </row>
    <row r="33" spans="1:5" x14ac:dyDescent="0.3">
      <c r="A33" s="11">
        <v>31</v>
      </c>
      <c r="B33" s="13" t="s">
        <v>58</v>
      </c>
      <c r="C33" s="12" t="s">
        <v>33</v>
      </c>
      <c r="D33" s="12" t="s">
        <v>45</v>
      </c>
      <c r="E33" s="14" t="b">
        <v>0</v>
      </c>
    </row>
    <row r="34" spans="1:5" x14ac:dyDescent="0.3">
      <c r="A34" s="11">
        <v>32</v>
      </c>
      <c r="B34" s="13" t="s">
        <v>79</v>
      </c>
      <c r="C34" s="12" t="s">
        <v>34</v>
      </c>
      <c r="D34" s="12" t="s">
        <v>46</v>
      </c>
      <c r="E34" s="14" t="b">
        <v>0</v>
      </c>
    </row>
    <row r="35" spans="1:5" x14ac:dyDescent="0.3">
      <c r="A35" s="11">
        <v>33</v>
      </c>
      <c r="B35" s="13" t="s">
        <v>59</v>
      </c>
      <c r="C35" s="12" t="s">
        <v>32</v>
      </c>
      <c r="D35" s="12" t="s">
        <v>45</v>
      </c>
      <c r="E35" s="14" t="b">
        <v>0</v>
      </c>
    </row>
    <row r="36" spans="1:5" x14ac:dyDescent="0.3">
      <c r="A36" s="11">
        <v>34</v>
      </c>
      <c r="B36" s="13" t="s">
        <v>80</v>
      </c>
      <c r="C36" s="12" t="s">
        <v>42</v>
      </c>
      <c r="D36" s="12" t="s">
        <v>46</v>
      </c>
      <c r="E36" s="14" t="b">
        <v>0</v>
      </c>
    </row>
    <row r="37" spans="1:5" x14ac:dyDescent="0.3">
      <c r="A37" s="11">
        <v>35</v>
      </c>
      <c r="B37" s="13" t="s">
        <v>19</v>
      </c>
      <c r="C37" s="12" t="s">
        <v>32</v>
      </c>
      <c r="D37" s="12" t="s">
        <v>45</v>
      </c>
      <c r="E37" s="14" t="b">
        <v>0</v>
      </c>
    </row>
    <row r="38" spans="1:5" x14ac:dyDescent="0.3">
      <c r="A38" s="11">
        <v>36</v>
      </c>
      <c r="B38" s="13" t="s">
        <v>18</v>
      </c>
      <c r="C38" s="12" t="s">
        <v>32</v>
      </c>
      <c r="D38" s="12" t="s">
        <v>45</v>
      </c>
      <c r="E38" s="14" t="b">
        <v>0</v>
      </c>
    </row>
    <row r="39" spans="1:5" ht="37.5" x14ac:dyDescent="0.3">
      <c r="A39" s="11">
        <v>37</v>
      </c>
      <c r="B39" s="13" t="s">
        <v>81</v>
      </c>
      <c r="C39" s="12" t="s">
        <v>32</v>
      </c>
      <c r="D39" s="12" t="s">
        <v>45</v>
      </c>
      <c r="E39" s="14" t="b">
        <v>0</v>
      </c>
    </row>
    <row r="40" spans="1:5" x14ac:dyDescent="0.3">
      <c r="A40" s="11">
        <v>38</v>
      </c>
      <c r="B40" s="13" t="s">
        <v>95</v>
      </c>
      <c r="C40" s="12" t="s">
        <v>32</v>
      </c>
      <c r="D40" s="12" t="s">
        <v>45</v>
      </c>
      <c r="E40" s="14" t="b">
        <v>0</v>
      </c>
    </row>
    <row r="41" spans="1:5" x14ac:dyDescent="0.3">
      <c r="A41" s="11">
        <v>39</v>
      </c>
      <c r="B41" s="13" t="s">
        <v>82</v>
      </c>
      <c r="C41" s="12" t="s">
        <v>33</v>
      </c>
      <c r="D41" s="12" t="s">
        <v>45</v>
      </c>
      <c r="E41" s="14" t="b">
        <v>0</v>
      </c>
    </row>
    <row r="42" spans="1:5" ht="37.5" x14ac:dyDescent="0.3">
      <c r="A42" s="11">
        <v>40</v>
      </c>
      <c r="B42" s="13" t="s">
        <v>83</v>
      </c>
      <c r="C42" s="12" t="s">
        <v>32</v>
      </c>
      <c r="D42" s="12" t="s">
        <v>45</v>
      </c>
      <c r="E42" s="14" t="b">
        <v>0</v>
      </c>
    </row>
    <row r="43" spans="1:5" ht="37.5" x14ac:dyDescent="0.3">
      <c r="A43" s="11">
        <v>41</v>
      </c>
      <c r="B43" s="13" t="s">
        <v>84</v>
      </c>
      <c r="C43" s="12" t="s">
        <v>33</v>
      </c>
      <c r="D43" s="12" t="s">
        <v>45</v>
      </c>
      <c r="E43" s="14" t="b">
        <v>0</v>
      </c>
    </row>
    <row r="44" spans="1:5" x14ac:dyDescent="0.3">
      <c r="A44" s="11">
        <v>42</v>
      </c>
      <c r="B44" s="13" t="s">
        <v>85</v>
      </c>
      <c r="C44" s="12" t="s">
        <v>42</v>
      </c>
      <c r="D44" s="12" t="s">
        <v>46</v>
      </c>
      <c r="E44" s="14" t="b">
        <v>0</v>
      </c>
    </row>
    <row r="45" spans="1:5" x14ac:dyDescent="0.3">
      <c r="A45" s="11">
        <v>43</v>
      </c>
      <c r="B45" s="13" t="s">
        <v>17</v>
      </c>
      <c r="C45" s="12" t="s">
        <v>33</v>
      </c>
      <c r="D45" s="12" t="s">
        <v>45</v>
      </c>
      <c r="E45" s="14" t="b">
        <v>0</v>
      </c>
    </row>
    <row r="46" spans="1:5" x14ac:dyDescent="0.3">
      <c r="A46" s="11">
        <v>44</v>
      </c>
      <c r="B46" s="13" t="s">
        <v>86</v>
      </c>
      <c r="C46" s="12" t="s">
        <v>32</v>
      </c>
      <c r="D46" s="12" t="s">
        <v>45</v>
      </c>
      <c r="E46" s="14" t="b">
        <v>0</v>
      </c>
    </row>
    <row r="47" spans="1:5" x14ac:dyDescent="0.3">
      <c r="A47" s="11">
        <v>45</v>
      </c>
      <c r="B47" s="13" t="s">
        <v>60</v>
      </c>
      <c r="C47" s="12" t="s">
        <v>42</v>
      </c>
      <c r="D47" s="12" t="s">
        <v>46</v>
      </c>
      <c r="E47" s="14" t="b">
        <v>0</v>
      </c>
    </row>
    <row r="48" spans="1:5" x14ac:dyDescent="0.3">
      <c r="A48" s="11">
        <v>46</v>
      </c>
      <c r="B48" s="13" t="s">
        <v>87</v>
      </c>
      <c r="C48" s="12" t="s">
        <v>42</v>
      </c>
      <c r="D48" s="12" t="s">
        <v>46</v>
      </c>
      <c r="E48" s="14" t="b">
        <v>0</v>
      </c>
    </row>
    <row r="49" spans="1:5" x14ac:dyDescent="0.3">
      <c r="A49" s="11">
        <v>47</v>
      </c>
      <c r="B49" s="13" t="s">
        <v>61</v>
      </c>
      <c r="C49" s="12" t="s">
        <v>33</v>
      </c>
      <c r="D49" s="12" t="s">
        <v>45</v>
      </c>
      <c r="E49" s="14" t="b">
        <v>0</v>
      </c>
    </row>
    <row r="50" spans="1:5" x14ac:dyDescent="0.3">
      <c r="A50" s="11">
        <v>48</v>
      </c>
      <c r="B50" s="13" t="s">
        <v>88</v>
      </c>
      <c r="C50" s="12" t="s">
        <v>32</v>
      </c>
      <c r="D50" s="12" t="s">
        <v>45</v>
      </c>
      <c r="E50" s="14" t="b">
        <v>0</v>
      </c>
    </row>
    <row r="51" spans="1:5" ht="37.5" x14ac:dyDescent="0.3">
      <c r="A51" s="11">
        <v>49</v>
      </c>
      <c r="B51" s="13" t="s">
        <v>89</v>
      </c>
      <c r="C51" s="12" t="s">
        <v>32</v>
      </c>
      <c r="D51" s="12" t="s">
        <v>45</v>
      </c>
      <c r="E51" s="14" t="b">
        <v>0</v>
      </c>
    </row>
    <row r="52" spans="1:5" x14ac:dyDescent="0.3">
      <c r="A52" s="11">
        <v>50</v>
      </c>
      <c r="B52" s="13" t="s">
        <v>62</v>
      </c>
      <c r="C52" s="12" t="s">
        <v>34</v>
      </c>
      <c r="D52" s="12" t="s">
        <v>45</v>
      </c>
      <c r="E52" s="14" t="b">
        <v>0</v>
      </c>
    </row>
    <row r="53" spans="1:5" x14ac:dyDescent="0.3">
      <c r="A53" s="11">
        <v>51</v>
      </c>
      <c r="B53" s="13" t="s">
        <v>25</v>
      </c>
      <c r="C53" s="12" t="s">
        <v>33</v>
      </c>
      <c r="D53" s="12" t="s">
        <v>45</v>
      </c>
      <c r="E53" s="14" t="b">
        <v>0</v>
      </c>
    </row>
    <row r="54" spans="1:5" x14ac:dyDescent="0.3">
      <c r="A54" s="11">
        <v>52</v>
      </c>
      <c r="B54" s="13" t="s">
        <v>90</v>
      </c>
      <c r="C54" s="12" t="s">
        <v>33</v>
      </c>
      <c r="D54" s="12" t="s">
        <v>45</v>
      </c>
      <c r="E54" s="14" t="b">
        <v>0</v>
      </c>
    </row>
    <row r="55" spans="1:5" x14ac:dyDescent="0.3">
      <c r="A55" s="11">
        <v>53</v>
      </c>
      <c r="B55" s="13" t="s">
        <v>91</v>
      </c>
      <c r="C55" s="12" t="s">
        <v>32</v>
      </c>
      <c r="D55" s="12" t="s">
        <v>46</v>
      </c>
      <c r="E55" s="14" t="b">
        <v>0</v>
      </c>
    </row>
    <row r="56" spans="1:5" ht="37.5" x14ac:dyDescent="0.3">
      <c r="A56" s="11">
        <v>54</v>
      </c>
      <c r="B56" s="13" t="s">
        <v>67</v>
      </c>
      <c r="C56" s="12" t="s">
        <v>42</v>
      </c>
      <c r="D56" s="12" t="s">
        <v>46</v>
      </c>
      <c r="E56" s="14" t="b">
        <v>0</v>
      </c>
    </row>
    <row r="57" spans="1:5" x14ac:dyDescent="0.3">
      <c r="A57" s="11">
        <v>55</v>
      </c>
      <c r="B57" s="13" t="s">
        <v>92</v>
      </c>
      <c r="C57" s="12" t="s">
        <v>34</v>
      </c>
      <c r="D57" s="12" t="s">
        <v>45</v>
      </c>
      <c r="E57" s="14" t="b">
        <v>0</v>
      </c>
    </row>
    <row r="58" spans="1:5" x14ac:dyDescent="0.3">
      <c r="A58" s="11">
        <v>56</v>
      </c>
      <c r="B58" s="13" t="s">
        <v>93</v>
      </c>
      <c r="C58" s="12" t="s">
        <v>34</v>
      </c>
      <c r="D58" s="12" t="s">
        <v>46</v>
      </c>
      <c r="E58" s="14" t="b">
        <v>0</v>
      </c>
    </row>
    <row r="59" spans="1:5" ht="37.5" x14ac:dyDescent="0.3">
      <c r="A59" s="11">
        <v>57</v>
      </c>
      <c r="B59" s="13" t="s">
        <v>94</v>
      </c>
      <c r="C59" s="12" t="s">
        <v>42</v>
      </c>
      <c r="D59" s="12" t="s">
        <v>46</v>
      </c>
      <c r="E59" s="14" t="b">
        <v>0</v>
      </c>
    </row>
    <row r="60" spans="1:5" x14ac:dyDescent="0.3">
      <c r="A60" s="11">
        <v>58</v>
      </c>
      <c r="B60" s="13" t="s">
        <v>23</v>
      </c>
      <c r="C60" s="12" t="s">
        <v>32</v>
      </c>
      <c r="D60" s="12" t="s">
        <v>45</v>
      </c>
      <c r="E60" s="14" t="b">
        <v>0</v>
      </c>
    </row>
    <row r="61" spans="1:5" x14ac:dyDescent="0.3">
      <c r="A61" s="11">
        <v>59</v>
      </c>
      <c r="B61" s="13" t="s">
        <v>96</v>
      </c>
      <c r="C61" s="12" t="s">
        <v>33</v>
      </c>
      <c r="D61" s="12" t="s">
        <v>45</v>
      </c>
      <c r="E61" s="14" t="b">
        <v>0</v>
      </c>
    </row>
    <row r="62" spans="1:5" x14ac:dyDescent="0.3">
      <c r="A62" s="11">
        <v>60</v>
      </c>
      <c r="B62" s="13" t="s">
        <v>15</v>
      </c>
      <c r="C62" s="12" t="s">
        <v>32</v>
      </c>
      <c r="D62" s="12" t="s">
        <v>45</v>
      </c>
      <c r="E62" s="14" t="b">
        <v>1</v>
      </c>
    </row>
    <row r="63" spans="1:5" x14ac:dyDescent="0.3">
      <c r="A63" s="11">
        <v>61</v>
      </c>
      <c r="B63" s="13" t="s">
        <v>97</v>
      </c>
      <c r="C63" s="12" t="s">
        <v>42</v>
      </c>
      <c r="D63" s="12" t="s">
        <v>46</v>
      </c>
      <c r="E63" s="14" t="b">
        <v>0</v>
      </c>
    </row>
    <row r="64" spans="1:5" x14ac:dyDescent="0.3">
      <c r="A64" s="11">
        <v>62</v>
      </c>
      <c r="B64" s="13" t="s">
        <v>27</v>
      </c>
      <c r="C64" s="12" t="s">
        <v>33</v>
      </c>
      <c r="D64" s="12" t="s">
        <v>45</v>
      </c>
      <c r="E64" s="14" t="b">
        <v>0</v>
      </c>
    </row>
    <row r="65" spans="1:5" x14ac:dyDescent="0.3">
      <c r="A65" s="11">
        <v>63</v>
      </c>
      <c r="B65" s="13" t="s">
        <v>98</v>
      </c>
      <c r="C65" s="12" t="s">
        <v>32</v>
      </c>
      <c r="D65" s="12" t="s">
        <v>45</v>
      </c>
      <c r="E65" s="14" t="b">
        <v>0</v>
      </c>
    </row>
    <row r="66" spans="1:5" x14ac:dyDescent="0.3">
      <c r="A66" s="11">
        <v>64</v>
      </c>
      <c r="B66" s="13" t="s">
        <v>99</v>
      </c>
      <c r="C66" s="12" t="s">
        <v>42</v>
      </c>
      <c r="D66" s="12" t="s">
        <v>46</v>
      </c>
      <c r="E66" s="14" t="b">
        <v>0</v>
      </c>
    </row>
    <row r="67" spans="1:5" x14ac:dyDescent="0.3">
      <c r="A67" s="11">
        <v>65</v>
      </c>
      <c r="B67" s="13" t="s">
        <v>100</v>
      </c>
      <c r="C67" s="12" t="s">
        <v>32</v>
      </c>
      <c r="D67" s="12" t="s">
        <v>45</v>
      </c>
      <c r="E67" s="14" t="b">
        <v>0</v>
      </c>
    </row>
    <row r="68" spans="1:5" x14ac:dyDescent="0.3">
      <c r="A68" s="11">
        <v>66</v>
      </c>
      <c r="B68" s="13" t="s">
        <v>101</v>
      </c>
      <c r="C68" s="12" t="s">
        <v>32</v>
      </c>
      <c r="D68" s="12" t="s">
        <v>45</v>
      </c>
      <c r="E68" s="14" t="b">
        <v>0</v>
      </c>
    </row>
    <row r="69" spans="1:5" x14ac:dyDescent="0.3">
      <c r="A69" s="11">
        <v>67</v>
      </c>
      <c r="B69" s="13" t="s">
        <v>102</v>
      </c>
      <c r="C69" s="12" t="s">
        <v>33</v>
      </c>
      <c r="D69" s="12" t="s">
        <v>45</v>
      </c>
      <c r="E69" s="14" t="b">
        <v>0</v>
      </c>
    </row>
    <row r="70" spans="1:5" x14ac:dyDescent="0.3">
      <c r="A70" s="11">
        <v>68</v>
      </c>
      <c r="B70" s="13" t="s">
        <v>41</v>
      </c>
      <c r="C70" s="12" t="s">
        <v>34</v>
      </c>
      <c r="D70" s="12" t="s">
        <v>45</v>
      </c>
      <c r="E70" s="14" t="b">
        <v>0</v>
      </c>
    </row>
    <row r="71" spans="1:5" x14ac:dyDescent="0.3">
      <c r="A71" s="11">
        <v>69</v>
      </c>
      <c r="B71" s="13" t="s">
        <v>103</v>
      </c>
      <c r="C71" s="12" t="s">
        <v>34</v>
      </c>
      <c r="D71" s="12" t="s">
        <v>45</v>
      </c>
      <c r="E71" s="14" t="b">
        <v>0</v>
      </c>
    </row>
    <row r="72" spans="1:5" x14ac:dyDescent="0.3">
      <c r="A72" s="11">
        <v>70</v>
      </c>
      <c r="B72" s="13" t="s">
        <v>104</v>
      </c>
      <c r="C72" s="12" t="s">
        <v>32</v>
      </c>
      <c r="D72" s="12" t="s">
        <v>46</v>
      </c>
      <c r="E72" s="14" t="b">
        <v>0</v>
      </c>
    </row>
    <row r="73" spans="1:5" x14ac:dyDescent="0.3">
      <c r="A73" s="11">
        <v>71</v>
      </c>
      <c r="B73" s="13" t="s">
        <v>63</v>
      </c>
      <c r="C73" s="12" t="s">
        <v>34</v>
      </c>
      <c r="D73" s="12" t="s">
        <v>46</v>
      </c>
      <c r="E73" s="14" t="b">
        <v>0</v>
      </c>
    </row>
    <row r="74" spans="1:5" x14ac:dyDescent="0.3">
      <c r="A74" s="11">
        <v>72</v>
      </c>
      <c r="B74" s="13" t="s">
        <v>20</v>
      </c>
      <c r="C74" s="12" t="s">
        <v>33</v>
      </c>
      <c r="D74" s="12" t="s">
        <v>45</v>
      </c>
      <c r="E74" s="14" t="b">
        <v>0</v>
      </c>
    </row>
    <row r="75" spans="1:5" ht="37.5" x14ac:dyDescent="0.3">
      <c r="A75" s="11">
        <v>73</v>
      </c>
      <c r="B75" s="13" t="s">
        <v>106</v>
      </c>
      <c r="C75" s="12" t="s">
        <v>33</v>
      </c>
      <c r="D75" s="12" t="s">
        <v>45</v>
      </c>
      <c r="E75" s="14" t="b">
        <v>0</v>
      </c>
    </row>
    <row r="76" spans="1:5" x14ac:dyDescent="0.3">
      <c r="A76" s="11">
        <v>74</v>
      </c>
      <c r="B76" s="13" t="s">
        <v>64</v>
      </c>
      <c r="C76" s="12" t="s">
        <v>34</v>
      </c>
      <c r="D76" s="12" t="s">
        <v>46</v>
      </c>
      <c r="E76" s="14" t="b">
        <v>0</v>
      </c>
    </row>
    <row r="77" spans="1:5" x14ac:dyDescent="0.3">
      <c r="A77" s="11">
        <v>75</v>
      </c>
      <c r="B77" s="13" t="s">
        <v>65</v>
      </c>
      <c r="C77" s="12" t="s">
        <v>33</v>
      </c>
      <c r="D77" s="12" t="s">
        <v>45</v>
      </c>
      <c r="E77" s="14" t="b">
        <v>0</v>
      </c>
    </row>
    <row r="78" spans="1:5" x14ac:dyDescent="0.3">
      <c r="A78" s="11">
        <v>76</v>
      </c>
      <c r="B78" s="13" t="s">
        <v>26</v>
      </c>
      <c r="C78" s="12" t="s">
        <v>34</v>
      </c>
      <c r="D78" s="12" t="s">
        <v>45</v>
      </c>
      <c r="E78" s="14" t="b">
        <v>0</v>
      </c>
    </row>
    <row r="79" spans="1:5" ht="37.5" x14ac:dyDescent="0.3">
      <c r="A79" s="11">
        <v>77</v>
      </c>
      <c r="B79" s="13" t="s">
        <v>107</v>
      </c>
      <c r="C79" s="12" t="s">
        <v>32</v>
      </c>
      <c r="D79" s="12" t="s">
        <v>46</v>
      </c>
      <c r="E79" s="14" t="b">
        <v>0</v>
      </c>
    </row>
    <row r="80" spans="1:5" x14ac:dyDescent="0.3">
      <c r="A80" s="11">
        <v>78</v>
      </c>
      <c r="B80" s="13" t="s">
        <v>108</v>
      </c>
      <c r="C80" s="12" t="s">
        <v>33</v>
      </c>
      <c r="D80" s="12" t="s">
        <v>45</v>
      </c>
      <c r="E80" s="14" t="b">
        <v>0</v>
      </c>
    </row>
    <row r="81" spans="1:5" x14ac:dyDescent="0.3">
      <c r="A81" s="11">
        <v>79</v>
      </c>
      <c r="B81" s="13" t="s">
        <v>109</v>
      </c>
      <c r="C81" s="12" t="s">
        <v>32</v>
      </c>
      <c r="D81" s="12" t="s">
        <v>45</v>
      </c>
      <c r="E81" s="14" t="b">
        <v>0</v>
      </c>
    </row>
    <row r="82" spans="1:5" ht="37.5" x14ac:dyDescent="0.3">
      <c r="A82" s="11">
        <v>80</v>
      </c>
      <c r="B82" s="13" t="s">
        <v>112</v>
      </c>
      <c r="C82" s="12" t="s">
        <v>34</v>
      </c>
      <c r="D82" s="12" t="s">
        <v>45</v>
      </c>
      <c r="E82" s="14" t="b">
        <v>0</v>
      </c>
    </row>
    <row r="83" spans="1:5" x14ac:dyDescent="0.3">
      <c r="A83" s="11">
        <v>81</v>
      </c>
      <c r="B83" s="13" t="s">
        <v>110</v>
      </c>
      <c r="C83" s="12" t="s">
        <v>32</v>
      </c>
      <c r="D83" s="12" t="s">
        <v>45</v>
      </c>
      <c r="E83" s="14" t="b">
        <v>0</v>
      </c>
    </row>
    <row r="84" spans="1:5" x14ac:dyDescent="0.3">
      <c r="A84" s="11">
        <v>82</v>
      </c>
      <c r="B84" s="13" t="s">
        <v>22</v>
      </c>
      <c r="C84" s="12" t="s">
        <v>32</v>
      </c>
      <c r="D84" s="12" t="s">
        <v>45</v>
      </c>
      <c r="E84" s="14" t="b">
        <v>0</v>
      </c>
    </row>
    <row r="85" spans="1:5" x14ac:dyDescent="0.3">
      <c r="A85" s="11">
        <v>83</v>
      </c>
      <c r="B85" s="13" t="s">
        <v>111</v>
      </c>
      <c r="C85" s="12" t="s">
        <v>42</v>
      </c>
      <c r="D85" s="12" t="s">
        <v>46</v>
      </c>
      <c r="E85" s="14" t="b">
        <v>0</v>
      </c>
    </row>
    <row r="86" spans="1:5" ht="37.5" x14ac:dyDescent="0.3">
      <c r="A86" s="11">
        <v>84</v>
      </c>
      <c r="B86" s="13" t="s">
        <v>105</v>
      </c>
      <c r="C86" s="12" t="s">
        <v>34</v>
      </c>
      <c r="D86" s="12" t="s">
        <v>45</v>
      </c>
      <c r="E86" s="14" t="b">
        <v>0</v>
      </c>
    </row>
    <row r="87" spans="1:5" x14ac:dyDescent="0.3">
      <c r="A87" s="11">
        <v>85</v>
      </c>
      <c r="B87" s="13" t="s">
        <v>66</v>
      </c>
      <c r="C87" s="12" t="s">
        <v>33</v>
      </c>
      <c r="D87" s="12" t="s">
        <v>45</v>
      </c>
      <c r="E87" s="14" t="b">
        <v>0</v>
      </c>
    </row>
    <row r="88" spans="1:5" ht="37.5" x14ac:dyDescent="0.3">
      <c r="A88" s="11">
        <v>86</v>
      </c>
      <c r="B88" s="13" t="s">
        <v>113</v>
      </c>
      <c r="C88" s="12" t="s">
        <v>32</v>
      </c>
      <c r="D88" s="12" t="s">
        <v>45</v>
      </c>
      <c r="E88" s="14" t="b">
        <v>0</v>
      </c>
    </row>
    <row r="89" spans="1:5" x14ac:dyDescent="0.3">
      <c r="A89" s="11">
        <v>87</v>
      </c>
      <c r="B89" s="13" t="s">
        <v>114</v>
      </c>
      <c r="C89" s="12" t="s">
        <v>34</v>
      </c>
      <c r="D89" s="12" t="s">
        <v>45</v>
      </c>
      <c r="E89" s="14" t="b">
        <v>0</v>
      </c>
    </row>
    <row r="90" spans="1:5" x14ac:dyDescent="0.3">
      <c r="A90" s="11">
        <v>88</v>
      </c>
      <c r="B90" s="13" t="s">
        <v>115</v>
      </c>
      <c r="C90" s="12" t="s">
        <v>33</v>
      </c>
      <c r="D90" s="12" t="s">
        <v>46</v>
      </c>
      <c r="E90" s="14" t="b">
        <v>0</v>
      </c>
    </row>
    <row r="91" spans="1:5" x14ac:dyDescent="0.3">
      <c r="A91" s="11">
        <v>89</v>
      </c>
      <c r="B91" s="13" t="s">
        <v>40</v>
      </c>
      <c r="C91" s="12" t="s">
        <v>33</v>
      </c>
      <c r="D91" s="12" t="s">
        <v>45</v>
      </c>
      <c r="E91" s="14" t="b">
        <v>0</v>
      </c>
    </row>
    <row r="92" spans="1:5" ht="37.5" x14ac:dyDescent="0.3">
      <c r="A92" s="11">
        <v>90</v>
      </c>
      <c r="B92" s="13" t="s">
        <v>69</v>
      </c>
      <c r="C92" s="12" t="s">
        <v>34</v>
      </c>
      <c r="D92" s="12" t="s">
        <v>46</v>
      </c>
      <c r="E92" s="14" t="b">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1202-9787-46FE-9AF2-F3252FF65A0F}">
  <dimension ref="B2:C9"/>
  <sheetViews>
    <sheetView showGridLines="0" zoomScale="120" zoomScaleNormal="120" workbookViewId="0">
      <selection activeCell="B2" sqref="B2"/>
    </sheetView>
  </sheetViews>
  <sheetFormatPr defaultColWidth="8.796875" defaultRowHeight="18.75" x14ac:dyDescent="0.3"/>
  <cols>
    <col min="1" max="1" width="3.09765625" customWidth="1"/>
    <col min="2" max="2" width="25.8984375" style="5" customWidth="1"/>
    <col min="3" max="3" width="64" customWidth="1"/>
  </cols>
  <sheetData>
    <row r="2" spans="2:3" ht="21" x14ac:dyDescent="0.35">
      <c r="B2" s="6" t="s">
        <v>12</v>
      </c>
    </row>
    <row r="3" spans="2:3" x14ac:dyDescent="0.3">
      <c r="B3" s="8" t="s">
        <v>11</v>
      </c>
      <c r="C3" t="s">
        <v>10</v>
      </c>
    </row>
    <row r="4" spans="2:3" x14ac:dyDescent="0.3">
      <c r="B4" s="8" t="s">
        <v>9</v>
      </c>
      <c r="C4" t="s">
        <v>8</v>
      </c>
    </row>
    <row r="5" spans="2:3" x14ac:dyDescent="0.3">
      <c r="B5" s="8" t="s">
        <v>7</v>
      </c>
      <c r="C5" t="s">
        <v>6</v>
      </c>
    </row>
    <row r="6" spans="2:3" x14ac:dyDescent="0.3">
      <c r="B6" s="8" t="s">
        <v>5</v>
      </c>
      <c r="C6" t="s">
        <v>4</v>
      </c>
    </row>
    <row r="7" spans="2:3" x14ac:dyDescent="0.3">
      <c r="B7" s="7"/>
    </row>
    <row r="8" spans="2:3" ht="21" x14ac:dyDescent="0.35">
      <c r="B8" s="6" t="s">
        <v>3</v>
      </c>
    </row>
    <row r="9" spans="2:3" x14ac:dyDescent="0.3">
      <c r="B9" s="2" t="s">
        <v>2</v>
      </c>
      <c r="C9" t="s">
        <v>1</v>
      </c>
    </row>
  </sheetData>
  <hyperlinks>
    <hyperlink ref="B3" r:id="rId1" xr:uid="{59EEF377-6720-4D9E-8A65-882530B518BB}"/>
    <hyperlink ref="B5" r:id="rId2" xr:uid="{9AE7C8A7-09E4-4789-BFE1-7AEAF8B05FF8}"/>
    <hyperlink ref="B4" r:id="rId3" xr:uid="{48083056-1360-4FE3-9E8E-95E4980A3F51}"/>
    <hyperlink ref="B9" r:id="rId4" tooltip="Contextures Recommends" xr:uid="{F6A05DDC-FBDD-4AA9-B305-6CDF26AACD2D}"/>
    <hyperlink ref="B6" r:id="rId5" xr:uid="{DAD7E8AD-0E1E-4D8E-AEAB-7D282B944C92}"/>
  </hyperlinks>
  <pageMargins left="0.75" right="0.75" top="1" bottom="1" header="0.5" footer="0.5"/>
  <pageSetup orientation="portrait" r:id="rId6"/>
  <headerFooter alignWithMargins="0">
    <oddFooter>&amp;Lwww.contextures.com&amp;R&amp;D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Summary</vt:lpstr>
      <vt:lpstr>Tasks</vt:lpstr>
      <vt:lpstr>MyLinks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Debra Dalgleish</cp:lastModifiedBy>
  <dcterms:created xsi:type="dcterms:W3CDTF">2025-05-21T19:27:57Z</dcterms:created>
  <dcterms:modified xsi:type="dcterms:W3CDTF">2026-01-20T23:46:29Z</dcterms:modified>
</cp:coreProperties>
</file>